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Cálculos, Gráficos e Rela" sheetId="1" r:id="rId5"/>
  </sheets>
  <definedNames/>
  <calcPr/>
</workbook>
</file>

<file path=xl/sharedStrings.xml><?xml version="1.0" encoding="utf-8"?>
<sst xmlns="http://schemas.openxmlformats.org/spreadsheetml/2006/main" count="42" uniqueCount="31">
  <si>
    <t>ID do Pedido</t>
  </si>
  <si>
    <t>Data (Agendamento)</t>
  </si>
  <si>
    <t>Valor Total</t>
  </si>
  <si>
    <t>Subtotal</t>
  </si>
  <si>
    <t>Desconto</t>
  </si>
  <si>
    <t>Taxa</t>
  </si>
  <si>
    <t>Canal</t>
  </si>
  <si>
    <t>Tipo de Pedido</t>
  </si>
  <si>
    <t>6986251f...</t>
  </si>
  <si>
    <t>IFOOD</t>
  </si>
  <si>
    <t>DELIVERY</t>
  </si>
  <si>
    <t>d9b8dc9a...</t>
  </si>
  <si>
    <t>CARDAPIOWEB</t>
  </si>
  <si>
    <t>INDOOR</t>
  </si>
  <si>
    <t>1709425d...</t>
  </si>
  <si>
    <t>73f5b0d8...</t>
  </si>
  <si>
    <t>71920575...</t>
  </si>
  <si>
    <t>1970225d...</t>
  </si>
  <si>
    <t>TAKE AWAY</t>
  </si>
  <si>
    <t>a6853820...</t>
  </si>
  <si>
    <t xml:space="preserve">DESVIO PADRÃO = </t>
  </si>
  <si>
    <t xml:space="preserve">MÉDIA = </t>
  </si>
  <si>
    <t xml:space="preserve">MEDIANA = </t>
  </si>
  <si>
    <t xml:space="preserve">MODA = </t>
  </si>
  <si>
    <t xml:space="preserve">VARIANCIA = </t>
  </si>
  <si>
    <t>Min</t>
  </si>
  <si>
    <t>Quartil 1</t>
  </si>
  <si>
    <t>Quartil 3</t>
  </si>
  <si>
    <t>Max</t>
  </si>
  <si>
    <t>Valore Min/max grafico</t>
  </si>
  <si>
    <t>Distribuição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</si>
</sst>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4" fontId="2" numFmtId="0" xfId="0" applyAlignment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Border="1" applyFill="1" applyFont="1"/>
    <xf borderId="1" fillId="6" fontId="2" numFmtId="165" xfId="0" applyBorder="1" applyFont="1" applyNumberFormat="1"/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  <xf borderId="1" fillId="6" fontId="2" numFmtId="4" xfId="0" applyBorder="1" applyFont="1" applyNumberForma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38100">
              <a:solidFill>
                <a:srgbClr val="0000F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10"/>
            <c:marker>
              <c:symbol val="none"/>
            </c:marker>
          </c:dPt>
          <c:cat>
            <c:strRef>
              <c:f>'Excel Cálculos, Gráficos e Rela'!$B$25:$B$42</c:f>
            </c:strRef>
          </c:cat>
          <c:val>
            <c:numRef>
              <c:f>'Excel Cálculos, Gráficos e Rela'!$C$25:$C$42</c:f>
              <c:numCache/>
            </c:numRef>
          </c:val>
          <c:smooth val="1"/>
        </c:ser>
        <c:axId val="931041711"/>
        <c:axId val="725959873"/>
      </c:lineChart>
      <c:catAx>
        <c:axId val="9310417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959873"/>
      </c:catAx>
      <c:valAx>
        <c:axId val="7259598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041711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7</xdr:row>
      <xdr:rowOff>95250</xdr:rowOff>
    </xdr:from>
    <xdr:ext cx="6000750" cy="3714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76200</xdr:rowOff>
    </xdr:from>
    <xdr:ext cx="5410200" cy="3333750"/>
    <xdr:pic>
      <xdr:nvPicPr>
        <xdr:cNvPr id="208397443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27</xdr:row>
      <xdr:rowOff>57150</xdr:rowOff>
    </xdr:from>
    <xdr:ext cx="5715000" cy="3533775"/>
    <xdr:pic>
      <xdr:nvPicPr>
        <xdr:cNvPr id="1002248239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638175</xdr:colOff>
      <xdr:row>27</xdr:row>
      <xdr:rowOff>57150</xdr:rowOff>
    </xdr:from>
    <xdr:ext cx="5514975" cy="366712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7.63"/>
    <col customWidth="1" min="3" max="3" width="25.5"/>
    <col customWidth="1" min="7" max="7" width="16.63"/>
    <col customWidth="1" min="8" max="8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45895.0</v>
      </c>
      <c r="C2" s="5">
        <f t="shared" ref="C2:C8" si="1">(D2 - E2)</f>
        <v>59.9</v>
      </c>
      <c r="D2" s="6">
        <v>69.9</v>
      </c>
      <c r="E2" s="5">
        <v>10.0</v>
      </c>
      <c r="F2" s="5">
        <v>0.0</v>
      </c>
      <c r="G2" s="7" t="s">
        <v>9</v>
      </c>
      <c r="H2" s="7" t="s">
        <v>10</v>
      </c>
    </row>
    <row r="3">
      <c r="A3" s="3" t="s">
        <v>11</v>
      </c>
      <c r="B3" s="4">
        <v>45990.0</v>
      </c>
      <c r="C3" s="5">
        <f t="shared" si="1"/>
        <v>114</v>
      </c>
      <c r="D3" s="5">
        <v>114.0</v>
      </c>
      <c r="E3" s="6">
        <v>0.0</v>
      </c>
      <c r="F3" s="5">
        <v>0.0</v>
      </c>
      <c r="G3" s="7" t="s">
        <v>12</v>
      </c>
      <c r="H3" s="7" t="s">
        <v>13</v>
      </c>
    </row>
    <row r="4">
      <c r="A4" s="3" t="s">
        <v>14</v>
      </c>
      <c r="B4" s="4">
        <v>46044.0</v>
      </c>
      <c r="C4" s="5">
        <f t="shared" si="1"/>
        <v>31.35</v>
      </c>
      <c r="D4" s="6">
        <v>31.35</v>
      </c>
      <c r="E4" s="5">
        <v>0.0</v>
      </c>
      <c r="F4" s="6">
        <v>5.98</v>
      </c>
      <c r="G4" s="7" t="s">
        <v>9</v>
      </c>
      <c r="H4" s="7" t="s">
        <v>10</v>
      </c>
    </row>
    <row r="5">
      <c r="A5" s="3" t="s">
        <v>15</v>
      </c>
      <c r="B5" s="4">
        <v>46047.0</v>
      </c>
      <c r="C5" s="5">
        <f t="shared" si="1"/>
        <v>20.75</v>
      </c>
      <c r="D5" s="6">
        <v>20.75</v>
      </c>
      <c r="E5" s="5">
        <v>0.0</v>
      </c>
      <c r="F5" s="6">
        <v>7.98</v>
      </c>
      <c r="G5" s="7" t="s">
        <v>9</v>
      </c>
      <c r="H5" s="7" t="s">
        <v>10</v>
      </c>
    </row>
    <row r="6">
      <c r="A6" s="3" t="s">
        <v>16</v>
      </c>
      <c r="B6" s="4">
        <v>46041.0</v>
      </c>
      <c r="C6" s="5">
        <f t="shared" si="1"/>
        <v>31.35</v>
      </c>
      <c r="D6" s="6">
        <v>31.35</v>
      </c>
      <c r="E6" s="5">
        <v>0.0</v>
      </c>
      <c r="F6" s="6">
        <v>5.98</v>
      </c>
      <c r="G6" s="7" t="s">
        <v>9</v>
      </c>
      <c r="H6" s="7" t="s">
        <v>10</v>
      </c>
    </row>
    <row r="7">
      <c r="A7" s="3" t="s">
        <v>17</v>
      </c>
      <c r="B7" s="4">
        <v>46042.0</v>
      </c>
      <c r="C7" s="5">
        <f t="shared" si="1"/>
        <v>45.5</v>
      </c>
      <c r="D7" s="6">
        <v>45.5</v>
      </c>
      <c r="E7" s="5">
        <v>0.0</v>
      </c>
      <c r="F7" s="5">
        <v>0.0</v>
      </c>
      <c r="G7" s="7" t="s">
        <v>12</v>
      </c>
      <c r="H7" s="7" t="s">
        <v>18</v>
      </c>
    </row>
    <row r="8">
      <c r="A8" s="3" t="s">
        <v>19</v>
      </c>
      <c r="B8" s="4">
        <v>46041.0</v>
      </c>
      <c r="C8" s="5">
        <f t="shared" si="1"/>
        <v>31.35</v>
      </c>
      <c r="D8" s="6">
        <v>31.35</v>
      </c>
      <c r="E8" s="5">
        <v>0.0</v>
      </c>
      <c r="F8" s="6">
        <v>5.98</v>
      </c>
      <c r="G8" s="7" t="s">
        <v>9</v>
      </c>
      <c r="H8" s="7" t="s">
        <v>10</v>
      </c>
    </row>
    <row r="10">
      <c r="C10" s="8" t="s">
        <v>2</v>
      </c>
      <c r="D10" s="8" t="s">
        <v>3</v>
      </c>
    </row>
    <row r="11">
      <c r="B11" s="9" t="s">
        <v>20</v>
      </c>
      <c r="C11" s="10">
        <f t="shared" ref="C11:D11" si="2">_xlfn.STDEV.S(C2:C8)</f>
        <v>31.82668467</v>
      </c>
      <c r="D11" s="10">
        <f t="shared" si="2"/>
        <v>32.67640404</v>
      </c>
    </row>
    <row r="12">
      <c r="B12" s="9" t="s">
        <v>21</v>
      </c>
      <c r="C12" s="11">
        <f t="shared" ref="C12:D12" si="3">AVERAGE(C2:C8)</f>
        <v>47.74285714</v>
      </c>
      <c r="D12" s="11">
        <f t="shared" si="3"/>
        <v>49.17142857</v>
      </c>
    </row>
    <row r="13">
      <c r="B13" s="9" t="s">
        <v>22</v>
      </c>
      <c r="C13" s="11">
        <f t="shared" ref="C13:D13" si="4">MEDIAN(C2:C8)</f>
        <v>31.35</v>
      </c>
      <c r="D13" s="11">
        <f t="shared" si="4"/>
        <v>31.35</v>
      </c>
      <c r="G13" s="12"/>
    </row>
    <row r="14">
      <c r="B14" s="9" t="s">
        <v>23</v>
      </c>
      <c r="C14" s="10">
        <f t="shared" ref="C14:D14" si="5">_xlfn.MODE.SNGL(C2:C8)</f>
        <v>31.35</v>
      </c>
      <c r="D14" s="10">
        <f t="shared" si="5"/>
        <v>31.35</v>
      </c>
    </row>
    <row r="15">
      <c r="B15" s="9" t="s">
        <v>24</v>
      </c>
      <c r="C15" s="10">
        <f t="shared" ref="C15:D15" si="6">VARP(C2:C8)</f>
        <v>868.232449</v>
      </c>
      <c r="D15" s="10">
        <f t="shared" si="6"/>
        <v>915.2120408</v>
      </c>
    </row>
    <row r="16">
      <c r="B16" s="9" t="s">
        <v>25</v>
      </c>
      <c r="C16" s="11">
        <f>MIN(D2:D8)</f>
        <v>20.75</v>
      </c>
      <c r="D16" s="11">
        <f>MIN(C2:C8)</f>
        <v>20.75</v>
      </c>
    </row>
    <row r="17">
      <c r="B17" s="9" t="s">
        <v>26</v>
      </c>
      <c r="C17" s="11">
        <f>QUARTILE(D2:D8, 1)</f>
        <v>31.35</v>
      </c>
      <c r="D17" s="11">
        <f>QUARTILE(C2:C8, 1)</f>
        <v>31.35</v>
      </c>
    </row>
    <row r="18">
      <c r="B18" s="9" t="s">
        <v>27</v>
      </c>
      <c r="C18" s="11">
        <f>QUARTILE(D2:D8, 3)</f>
        <v>57.7</v>
      </c>
      <c r="D18" s="11">
        <f>QUARTILE(C2:C8, 3)</f>
        <v>52.7</v>
      </c>
    </row>
    <row r="19">
      <c r="B19" s="9" t="s">
        <v>28</v>
      </c>
      <c r="C19" s="11">
        <f>MAX(D2:D8)</f>
        <v>114</v>
      </c>
      <c r="D19" s="11">
        <f>MAX(C2:C8)</f>
        <v>114</v>
      </c>
    </row>
    <row r="21">
      <c r="A21" s="12"/>
    </row>
    <row r="22">
      <c r="A22" s="12"/>
    </row>
    <row r="23">
      <c r="A23" s="12"/>
    </row>
    <row r="24">
      <c r="B24" s="13" t="s">
        <v>29</v>
      </c>
      <c r="C24" s="13" t="s">
        <v>30</v>
      </c>
    </row>
    <row r="25">
      <c r="B25" s="14">
        <v>-50.0</v>
      </c>
      <c r="C25" s="15">
        <f>_xlfn.NORM.DIST(B25, C12, C11, FALSE)</f>
        <v>0.0001122183466</v>
      </c>
    </row>
    <row r="26">
      <c r="B26" s="14">
        <v>-40.0</v>
      </c>
      <c r="C26" s="15">
        <f t="shared" ref="C26:C42" si="7">_xlfn.NORM.DIST(B26, 47.74, 31.82, FALSE)</f>
        <v>0.000280028162</v>
      </c>
    </row>
    <row r="27">
      <c r="B27" s="14">
        <v>-30.0</v>
      </c>
      <c r="C27" s="15">
        <f t="shared" si="7"/>
        <v>0.0006340103975</v>
      </c>
    </row>
    <row r="28">
      <c r="B28" s="14">
        <v>-20.0</v>
      </c>
      <c r="C28" s="15">
        <f t="shared" si="7"/>
        <v>0.001300463878</v>
      </c>
    </row>
    <row r="29">
      <c r="B29" s="14">
        <v>-10.0</v>
      </c>
      <c r="C29" s="15">
        <f t="shared" si="7"/>
        <v>0.002416614907</v>
      </c>
    </row>
    <row r="30">
      <c r="B30" s="14">
        <v>0.0</v>
      </c>
      <c r="C30" s="15">
        <f t="shared" si="7"/>
        <v>0.004068401912</v>
      </c>
    </row>
    <row r="31">
      <c r="B31" s="14">
        <v>10.0</v>
      </c>
      <c r="C31" s="15">
        <f t="shared" si="7"/>
        <v>0.006205081536</v>
      </c>
    </row>
    <row r="32">
      <c r="B32" s="14">
        <v>20.0</v>
      </c>
      <c r="C32" s="15">
        <f t="shared" si="7"/>
        <v>0.008573899303</v>
      </c>
    </row>
    <row r="33">
      <c r="B33" s="14">
        <v>30.0</v>
      </c>
      <c r="C33" s="15">
        <f t="shared" si="7"/>
        <v>0.01073288578</v>
      </c>
    </row>
    <row r="34">
      <c r="B34" s="14">
        <v>40.0</v>
      </c>
      <c r="C34" s="15">
        <f t="shared" si="7"/>
        <v>0.01217199821</v>
      </c>
    </row>
    <row r="35">
      <c r="B35" s="14">
        <v>50.0</v>
      </c>
      <c r="C35" s="15">
        <f t="shared" si="7"/>
        <v>0.01250588686</v>
      </c>
    </row>
    <row r="36">
      <c r="B36" s="14">
        <v>60.0</v>
      </c>
      <c r="C36" s="15">
        <f t="shared" si="7"/>
        <v>0.01164057287</v>
      </c>
    </row>
    <row r="37">
      <c r="B37" s="14">
        <v>70.0</v>
      </c>
      <c r="C37" s="15">
        <f t="shared" si="7"/>
        <v>0.009816156086</v>
      </c>
    </row>
    <row r="38">
      <c r="B38" s="14">
        <v>80.0</v>
      </c>
      <c r="C38" s="15">
        <f t="shared" si="7"/>
        <v>0.007499214921</v>
      </c>
    </row>
    <row r="39">
      <c r="B39" s="14">
        <v>90.0</v>
      </c>
      <c r="C39" s="15">
        <f t="shared" si="7"/>
        <v>0.005190358888</v>
      </c>
    </row>
    <row r="40">
      <c r="B40" s="14">
        <v>100.0</v>
      </c>
      <c r="C40" s="15">
        <f t="shared" si="7"/>
        <v>0.003254514564</v>
      </c>
    </row>
    <row r="41">
      <c r="B41" s="14">
        <v>110.0</v>
      </c>
      <c r="C41" s="15">
        <f t="shared" si="7"/>
        <v>0.001848767481</v>
      </c>
    </row>
    <row r="42">
      <c r="B42" s="14">
        <v>120.0</v>
      </c>
      <c r="C42" s="15">
        <f t="shared" si="7"/>
        <v>0.0009514492122</v>
      </c>
    </row>
  </sheetData>
  <drawing r:id="rId1"/>
</worksheet>
</file>